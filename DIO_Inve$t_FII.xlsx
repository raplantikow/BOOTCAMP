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4748844744\Downloads\"/>
    </mc:Choice>
  </mc:AlternateContent>
  <xr:revisionPtr revIDLastSave="0" documentId="13_ncr:1_{E4031C80-CCD8-42DE-BC8E-F3963D7C3E84}" xr6:coauthVersionLast="47" xr6:coauthVersionMax="47" xr10:uidLastSave="{00000000-0000-0000-0000-000000000000}"/>
  <bookViews>
    <workbookView xWindow="-108" yWindow="-108" windowWidth="23256" windowHeight="12456" xr2:uid="{3D918E89-3886-4560-8E23-22A325268129}"/>
  </bookViews>
  <sheets>
    <sheet name="APP" sheetId="1" r:id="rId1"/>
    <sheet name="BD" sheetId="3" r:id="rId2"/>
  </sheets>
  <externalReferences>
    <externalReference r:id="rId3"/>
  </externalReferences>
  <definedNames>
    <definedName name="aporte">[1]APP!$D$17</definedName>
    <definedName name="patrimonio">[1]APP!$D$20</definedName>
    <definedName name="qtd_anos">[1]APP!$D$18</definedName>
    <definedName name="rendimento_carteira">[1]APP!$D$13</definedName>
    <definedName name="taxa_mensal">[1]APP!$D$19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27" i="1"/>
  <c r="C24" i="1"/>
  <c r="C17" i="1"/>
  <c r="D17" i="1" s="1"/>
  <c r="C19" i="1"/>
  <c r="C20" i="1"/>
  <c r="C21" i="1"/>
  <c r="C18" i="1"/>
  <c r="D14" i="1"/>
  <c r="D13" i="1"/>
  <c r="D7" i="1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H4" i="3"/>
  <c r="A4" i="3"/>
  <c r="A3" i="3"/>
  <c r="D27" i="1" l="1"/>
  <c r="D32" i="1"/>
  <c r="D28" i="1"/>
  <c r="D29" i="1"/>
  <c r="D30" i="1"/>
  <c r="D31" i="1"/>
  <c r="C33" i="1"/>
  <c r="D18" i="1" l="1"/>
  <c r="D19" i="1" s="1"/>
  <c r="D21" i="1" l="1"/>
  <c r="D20" i="1"/>
  <c r="D33" i="1"/>
</calcChain>
</file>

<file path=xl/sharedStrings.xml><?xml version="1.0" encoding="utf-8"?>
<sst xmlns="http://schemas.openxmlformats.org/spreadsheetml/2006/main" count="72" uniqueCount="36">
  <si>
    <t>Salário</t>
  </si>
  <si>
    <t>Rendimento Carteira</t>
  </si>
  <si>
    <t>Sugestão de Investimento (30%)</t>
  </si>
  <si>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</si>
  <si>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</si>
  <si>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</si>
  <si>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</si>
  <si>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</si>
  <si>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</si>
  <si>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</si>
  <si>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</si>
  <si>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</si>
  <si>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</si>
  <si>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</si>
  <si>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</si>
  <si>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</si>
  <si>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INVESTIMENTO MENSAL</t>
  </si>
  <si>
    <t>PERFIL DO INVESTIDOR</t>
  </si>
  <si>
    <t>VALOR A INVESTIR POR MÊS</t>
  </si>
  <si>
    <t>Valores</t>
  </si>
  <si>
    <t>Moderado - TIJOLO</t>
  </si>
  <si>
    <t>Valor em 2 anos:</t>
  </si>
  <si>
    <t>Valor em 5 anos:</t>
  </si>
  <si>
    <t>Valor em 10 anos:</t>
  </si>
  <si>
    <t>Valor em 20 anos:</t>
  </si>
  <si>
    <t>Valor em 30 anos:</t>
  </si>
  <si>
    <t xml:space="preserve">       INVE$T</t>
  </si>
  <si>
    <t>% Sugerido</t>
  </si>
  <si>
    <t>INFORMAÇÕES</t>
  </si>
  <si>
    <t>DIVIDENDO</t>
  </si>
  <si>
    <t>CENÁRIOS</t>
  </si>
  <si>
    <t>Patrimônio acumulado</t>
  </si>
  <si>
    <t>Dividendos Mensais</t>
  </si>
  <si>
    <t>Taxa de Rendimento mensal</t>
  </si>
  <si>
    <t>Quanto investir por mês</t>
  </si>
  <si>
    <t>Durante quantos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</si>
</sst>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"/>
    <numFmt numFmtId="165" formatCode="_-&quot;R$&quot;\ * #,##0_-;\-&quot;R$&quot;\ * #,##0_-;_-&quot;R$&quot;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8"/>
      <color theme="0"/>
      <name val="Amasis MT Pro Black"/>
      <family val="1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72"/>
      <color theme="0"/>
      <name val="Amasis MT Pro Black"/>
      <family val="1"/>
    </font>
    <font>
      <b/>
      <sz val="11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9.9978637043366805E-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thin">
        <color auto="1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auto="1"/>
      </right>
      <top style="thin">
        <color auto="1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medium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0">
    <xf numFmtId="0" fontId="0" fillId="0" borderId="0" xfId="0"/>
    <xf numFmtId="0" fontId="2" fillId="2" borderId="0" xfId="3"/>
    <xf numFmtId="0" fontId="0" fillId="0" borderId="0" xfId="0" applyAlignment="1">
      <alignment horizontal="center"/>
    </xf>
    <xf numFmtId="0" fontId="6" fillId="3" borderId="0" xfId="0" applyFont="1" applyFill="1" applyAlignment="1">
      <alignment vertical="center"/>
    </xf>
    <xf numFmtId="9" fontId="2" fillId="2" borderId="0" xfId="2" applyFont="1" applyFill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3" xfId="0" applyFill="1" applyBorder="1"/>
    <xf numFmtId="0" fontId="0" fillId="4" borderId="2" xfId="0" applyFill="1" applyBorder="1"/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4" borderId="7" xfId="0" applyFill="1" applyBorder="1"/>
    <xf numFmtId="9" fontId="0" fillId="4" borderId="8" xfId="0" applyNumberFormat="1" applyFill="1" applyBorder="1" applyAlignment="1">
      <alignment horizontal="center"/>
    </xf>
    <xf numFmtId="0" fontId="0" fillId="4" borderId="9" xfId="0" applyFill="1" applyBorder="1"/>
    <xf numFmtId="0" fontId="0" fillId="4" borderId="2" xfId="0" applyFill="1" applyBorder="1" applyAlignment="1">
      <alignment horizontal="center"/>
    </xf>
    <xf numFmtId="9" fontId="0" fillId="4" borderId="10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65" fontId="8" fillId="4" borderId="11" xfId="0" applyNumberFormat="1" applyFont="1" applyFill="1" applyBorder="1" applyAlignment="1">
      <alignment horizontal="center" vertical="center"/>
    </xf>
    <xf numFmtId="165" fontId="8" fillId="4" borderId="11" xfId="1" applyNumberFormat="1" applyFont="1" applyFill="1" applyBorder="1" applyAlignment="1">
      <alignment horizontal="center" vertical="center"/>
    </xf>
    <xf numFmtId="165" fontId="9" fillId="4" borderId="11" xfId="0" applyNumberFormat="1" applyFont="1" applyFill="1" applyBorder="1" applyAlignment="1">
      <alignment horizontal="center" vertical="center"/>
    </xf>
    <xf numFmtId="165" fontId="9" fillId="6" borderId="11" xfId="0" applyNumberFormat="1" applyFont="1" applyFill="1" applyBorder="1" applyAlignment="1">
      <alignment horizontal="center" vertical="center"/>
    </xf>
    <xf numFmtId="165" fontId="0" fillId="4" borderId="11" xfId="0" applyNumberFormat="1" applyFill="1" applyBorder="1" applyAlignment="1">
      <alignment horizontal="center" vertical="center"/>
    </xf>
    <xf numFmtId="9" fontId="0" fillId="4" borderId="11" xfId="0" applyNumberFormat="1" applyFill="1" applyBorder="1" applyAlignment="1">
      <alignment horizontal="center" vertical="center"/>
    </xf>
    <xf numFmtId="10" fontId="8" fillId="4" borderId="11" xfId="0" applyNumberFormat="1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right" vertical="center"/>
    </xf>
    <xf numFmtId="10" fontId="9" fillId="4" borderId="11" xfId="0" applyNumberFormat="1" applyFont="1" applyFill="1" applyBorder="1" applyAlignment="1">
      <alignment horizontal="right" vertical="center"/>
    </xf>
    <xf numFmtId="0" fontId="3" fillId="3" borderId="11" xfId="3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165" fontId="3" fillId="3" borderId="11" xfId="0" applyNumberFormat="1" applyFont="1" applyFill="1" applyBorder="1" applyAlignment="1">
      <alignment horizontal="center" vertical="center"/>
    </xf>
    <xf numFmtId="9" fontId="3" fillId="3" borderId="11" xfId="0" applyNumberFormat="1" applyFont="1" applyFill="1" applyBorder="1" applyAlignment="1">
      <alignment horizontal="center" vertical="center"/>
    </xf>
    <xf numFmtId="0" fontId="3" fillId="3" borderId="11" xfId="3" applyFont="1" applyFill="1" applyBorder="1" applyAlignment="1">
      <alignment horizontal="center" vertical="center"/>
    </xf>
    <xf numFmtId="164" fontId="4" fillId="4" borderId="11" xfId="1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 indent="1"/>
    </xf>
    <xf numFmtId="0" fontId="10" fillId="6" borderId="11" xfId="0" applyFont="1" applyFill="1" applyBorder="1" applyAlignment="1">
      <alignment horizontal="left" vertical="center" indent="1"/>
    </xf>
    <xf numFmtId="0" fontId="7" fillId="4" borderId="11" xfId="0" applyFont="1" applyFill="1" applyBorder="1" applyAlignment="1">
      <alignment horizontal="left" vertical="center" indent="1"/>
    </xf>
    <xf numFmtId="0" fontId="0" fillId="4" borderId="11" xfId="0" applyFill="1" applyBorder="1" applyAlignment="1">
      <alignment horizontal="left" vertical="center" indent="1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[1]APP!$C$35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6-48D3-AAEB-5932F410ED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6-48D3-AAEB-5932F410ED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F6-48D3-AAEB-5932F410ED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F6-48D3-AAEB-5932F410ED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F6-48D3-AAEB-5932F410ED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F6-48D3-AAEB-5932F410ED66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8F6-48D3-AAEB-5932F410ED6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8F6-48D3-AAEB-5932F410ED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[1]APP!$C$36:$C$41</c:f>
              <c:numCache>
                <c:formatCode>General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F6-48D3-AAEB-5932F410E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</xdr:colOff>
      <xdr:row>0</xdr:row>
      <xdr:rowOff>121921</xdr:rowOff>
    </xdr:from>
    <xdr:to>
      <xdr:col>1</xdr:col>
      <xdr:colOff>2040935</xdr:colOff>
      <xdr:row>0</xdr:row>
      <xdr:rowOff>1087756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6B1A88-005B-F885-7C94-FB898D6FB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" y="121921"/>
          <a:ext cx="2210480" cy="975360"/>
        </a:xfrm>
        <a:prstGeom prst="rect">
          <a:avLst/>
        </a:prstGeom>
      </xdr:spPr>
    </xdr:pic>
    <xdr:clientData/>
  </xdr:twoCellAnchor>
  <xdr:twoCellAnchor>
    <xdr:from>
      <xdr:col>1</xdr:col>
      <xdr:colOff>1905</xdr:colOff>
      <xdr:row>33</xdr:row>
      <xdr:rowOff>135255</xdr:rowOff>
    </xdr:from>
    <xdr:to>
      <xdr:col>4</xdr:col>
      <xdr:colOff>3802</xdr:colOff>
      <xdr:row>45</xdr:row>
      <xdr:rowOff>59955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31CC52-7B5F-4543-A8A3-CA95ECC98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4748844744\Downloads\Simulador_Investimentos_Fundos_Imobiliarios.xlsx" TargetMode="External"/><Relationship Id="rId1" Type="http://schemas.openxmlformats.org/officeDocument/2006/relationships/externalLinkPath" Target="Simulador_Investimentos_Fundos_Imobili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13">
          <cell r="D13">
            <v>6.0000000000000001E-3</v>
          </cell>
        </row>
        <row r="17">
          <cell r="D17">
            <v>200</v>
          </cell>
        </row>
        <row r="18">
          <cell r="D18">
            <v>5</v>
          </cell>
        </row>
        <row r="19">
          <cell r="D19">
            <v>1.0789999999999999E-2</v>
          </cell>
        </row>
        <row r="20">
          <cell r="D20">
            <v>16755.382799697527</v>
          </cell>
        </row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Sicoob">
      <a:dk1>
        <a:sysClr val="windowText" lastClr="000000"/>
      </a:dk1>
      <a:lt1>
        <a:sysClr val="window" lastClr="FFFFFF"/>
      </a:lt1>
      <a:dk2>
        <a:srgbClr val="003641"/>
      </a:dk2>
      <a:lt2>
        <a:srgbClr val="00AE9D"/>
      </a:lt2>
      <a:accent1>
        <a:srgbClr val="C9D200"/>
      </a:accent1>
      <a:accent2>
        <a:srgbClr val="7DB61C"/>
      </a:accent2>
      <a:accent3>
        <a:srgbClr val="00AE9D"/>
      </a:accent3>
      <a:accent4>
        <a:srgbClr val="003641"/>
      </a:accent4>
      <a:accent5>
        <a:srgbClr val="49479D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0B04-BDEE-4FD0-85EF-BB4425E8CA8F}">
  <dimension ref="A1:O42"/>
  <sheetViews>
    <sheetView showGridLines="0" tabSelected="1" topLeftCell="A38" workbookViewId="0">
      <selection activeCell="G26" sqref="G26"/>
    </sheetView>
  </sheetViews>
  <sheetFormatPr defaultRowHeight="14.4" x14ac:dyDescent="0.3"/>
  <cols>
    <col min="1" max="1" width="5.44140625" style="17" customWidth="1"/>
    <col min="2" max="2" width="46.77734375" style="17" customWidth="1"/>
    <col min="3" max="3" width="17.44140625" style="17" bestFit="1" customWidth="1"/>
    <col min="4" max="4" width="13" style="17" bestFit="1" customWidth="1"/>
    <col min="5" max="16384" width="8.88671875" style="17"/>
  </cols>
  <sheetData>
    <row r="1" spans="2:15" s="18" customFormat="1" ht="100.2" customHeight="1" x14ac:dyDescent="0.3">
      <c r="B1" s="39" t="s">
        <v>26</v>
      </c>
      <c r="C1" s="39"/>
      <c r="D1" s="39"/>
      <c r="E1" s="39"/>
      <c r="F1" s="3"/>
      <c r="G1" s="3"/>
      <c r="H1" s="3"/>
      <c r="I1" s="3"/>
      <c r="J1" s="3"/>
      <c r="K1" s="3"/>
      <c r="L1" s="3"/>
      <c r="M1" s="3"/>
      <c r="N1" s="3"/>
      <c r="O1" s="3"/>
    </row>
    <row r="4" spans="2:15" ht="16.8" x14ac:dyDescent="0.3">
      <c r="B4" s="41" t="s">
        <v>28</v>
      </c>
      <c r="C4" s="42"/>
      <c r="D4" s="43"/>
    </row>
    <row r="5" spans="2:15" ht="19.2" x14ac:dyDescent="0.3">
      <c r="B5" s="46" t="s">
        <v>0</v>
      </c>
      <c r="C5" s="46"/>
      <c r="D5" s="22">
        <v>2000</v>
      </c>
    </row>
    <row r="6" spans="2:15" ht="19.2" x14ac:dyDescent="0.3">
      <c r="B6" s="46" t="s">
        <v>1</v>
      </c>
      <c r="C6" s="46"/>
      <c r="D6" s="27">
        <v>6.0000000000000001E-3</v>
      </c>
    </row>
    <row r="7" spans="2:15" ht="19.2" x14ac:dyDescent="0.3">
      <c r="B7" s="46" t="s">
        <v>2</v>
      </c>
      <c r="C7" s="46"/>
      <c r="D7" s="21">
        <f>D5*30%</f>
        <v>600</v>
      </c>
    </row>
    <row r="9" spans="2:15" ht="16.8" x14ac:dyDescent="0.3">
      <c r="B9" s="40" t="s">
        <v>16</v>
      </c>
      <c r="C9" s="40"/>
      <c r="D9" s="40"/>
    </row>
    <row r="10" spans="2:15" ht="18.600000000000001" customHeight="1" x14ac:dyDescent="0.3">
      <c r="B10" s="46" t="s">
        <v>34</v>
      </c>
      <c r="C10" s="46"/>
      <c r="D10" s="23">
        <v>200</v>
      </c>
    </row>
    <row r="11" spans="2:15" ht="19.2" x14ac:dyDescent="0.3">
      <c r="B11" s="46" t="s">
        <v>35</v>
      </c>
      <c r="C11" s="46"/>
      <c r="D11" s="28">
        <v>5</v>
      </c>
    </row>
    <row r="12" spans="2:15" ht="19.2" x14ac:dyDescent="0.3">
      <c r="B12" s="46" t="s">
        <v>33</v>
      </c>
      <c r="C12" s="46"/>
      <c r="D12" s="29">
        <v>1.0789999999999999E-2</v>
      </c>
    </row>
    <row r="13" spans="2:15" ht="19.2" x14ac:dyDescent="0.3">
      <c r="B13" s="47" t="s">
        <v>31</v>
      </c>
      <c r="C13" s="47"/>
      <c r="D13" s="24">
        <f>FV(taxa_mensal,qtd_anos*12,aporte*-1)</f>
        <v>16755.382799697527</v>
      </c>
    </row>
    <row r="14" spans="2:15" ht="19.2" x14ac:dyDescent="0.3">
      <c r="B14" s="47" t="s">
        <v>32</v>
      </c>
      <c r="C14" s="47"/>
      <c r="D14" s="24">
        <f>patrimonio*rendimento_carteira</f>
        <v>100.53229679818516</v>
      </c>
    </row>
    <row r="15" spans="2:15" x14ac:dyDescent="0.3">
      <c r="F15" s="19"/>
    </row>
    <row r="16" spans="2:15" ht="16.8" x14ac:dyDescent="0.3">
      <c r="B16" s="44" t="s">
        <v>30</v>
      </c>
      <c r="C16" s="45"/>
      <c r="D16" s="32" t="s">
        <v>29</v>
      </c>
    </row>
    <row r="17" spans="1:4" ht="18.600000000000001" customHeight="1" x14ac:dyDescent="0.3">
      <c r="B17" s="48" t="s">
        <v>21</v>
      </c>
      <c r="C17" s="21">
        <f>FV($D$12,$A24*12,$D$10*-1)</f>
        <v>5445.5254595290435</v>
      </c>
      <c r="D17" s="21">
        <f>C17*rendimento_carteira</f>
        <v>32.673152757174265</v>
      </c>
    </row>
    <row r="18" spans="1:4" ht="19.2" x14ac:dyDescent="0.3">
      <c r="B18" s="48" t="s">
        <v>22</v>
      </c>
      <c r="C18" s="21">
        <f>FV($D$12,$A25*12,$D$10*-1)</f>
        <v>16755.382799697527</v>
      </c>
      <c r="D18" s="21">
        <f>C18*rendimento_carteira</f>
        <v>100.53229679818516</v>
      </c>
    </row>
    <row r="19" spans="1:4" ht="19.2" x14ac:dyDescent="0.3">
      <c r="B19" s="48" t="s">
        <v>23</v>
      </c>
      <c r="C19" s="21">
        <f>FV($D$12,$A26*12,$D$10*-1)</f>
        <v>48656.842506034438</v>
      </c>
      <c r="D19" s="21">
        <f>C19*rendimento_carteira</f>
        <v>291.94105503620665</v>
      </c>
    </row>
    <row r="20" spans="1:4" ht="19.2" x14ac:dyDescent="0.3">
      <c r="B20" s="48" t="s">
        <v>24</v>
      </c>
      <c r="C20" s="21">
        <f>FV($D$12,$A27*12,$D$10*-1)</f>
        <v>225039.68001941612</v>
      </c>
      <c r="D20" s="21">
        <f>C20*rendimento_carteira</f>
        <v>1350.2380801164968</v>
      </c>
    </row>
    <row r="21" spans="1:4" ht="19.2" x14ac:dyDescent="0.3">
      <c r="B21" s="48" t="s">
        <v>25</v>
      </c>
      <c r="C21" s="21">
        <f>FV($D$12,$A28*12,$D$10*-1)</f>
        <v>864433.93100094295</v>
      </c>
      <c r="D21" s="21">
        <f>C21*rendimento_carteira</f>
        <v>5186.6035860056581</v>
      </c>
    </row>
    <row r="23" spans="1:4" x14ac:dyDescent="0.3">
      <c r="B23" s="30" t="s">
        <v>17</v>
      </c>
      <c r="C23" s="37" t="s">
        <v>14</v>
      </c>
      <c r="D23" s="37"/>
    </row>
    <row r="24" spans="1:4" x14ac:dyDescent="0.3">
      <c r="A24" s="20">
        <v>2</v>
      </c>
      <c r="B24" s="31" t="s">
        <v>18</v>
      </c>
      <c r="C24" s="38">
        <f>aporte</f>
        <v>200</v>
      </c>
      <c r="D24" s="38"/>
    </row>
    <row r="25" spans="1:4" x14ac:dyDescent="0.3">
      <c r="A25" s="20">
        <v>5</v>
      </c>
    </row>
    <row r="26" spans="1:4" ht="17.399999999999999" customHeight="1" x14ac:dyDescent="0.3">
      <c r="A26" s="20">
        <v>10</v>
      </c>
      <c r="B26" s="33" t="s">
        <v>5</v>
      </c>
      <c r="C26" s="33" t="s">
        <v>27</v>
      </c>
      <c r="D26" s="33" t="s">
        <v>19</v>
      </c>
    </row>
    <row r="27" spans="1:4" x14ac:dyDescent="0.3">
      <c r="A27" s="20">
        <v>20</v>
      </c>
      <c r="B27" s="49" t="s">
        <v>8</v>
      </c>
      <c r="C27" s="26">
        <f>VLOOKUP($C$23&amp;"-"&amp;B27,BD!$A:$D,4,FALSE)</f>
        <v>0.32</v>
      </c>
      <c r="D27" s="25">
        <f t="shared" ref="D27:D32" si="0">C27*$C$24</f>
        <v>64</v>
      </c>
    </row>
    <row r="28" spans="1:4" x14ac:dyDescent="0.3">
      <c r="A28" s="20">
        <v>30</v>
      </c>
      <c r="B28" s="49" t="s">
        <v>9</v>
      </c>
      <c r="C28" s="26">
        <f>VLOOKUP($C$23&amp;"-"&amp;B28,BD!$A:$D,4,FALSE)</f>
        <v>0.35</v>
      </c>
      <c r="D28" s="25">
        <f t="shared" si="0"/>
        <v>70</v>
      </c>
    </row>
    <row r="29" spans="1:4" x14ac:dyDescent="0.3">
      <c r="B29" s="49" t="s">
        <v>10</v>
      </c>
      <c r="C29" s="26">
        <f>VLOOKUP($C$23&amp;"-"&amp;B29,BD!$A:$D,4,FALSE)</f>
        <v>0.08</v>
      </c>
      <c r="D29" s="25">
        <f t="shared" si="0"/>
        <v>16</v>
      </c>
    </row>
    <row r="30" spans="1:4" x14ac:dyDescent="0.3">
      <c r="B30" s="49" t="s">
        <v>11</v>
      </c>
      <c r="C30" s="26">
        <f>VLOOKUP($C$23&amp;"-"&amp;B30,BD!$A:$D,4,FALSE)</f>
        <v>0.05</v>
      </c>
      <c r="D30" s="25">
        <f t="shared" si="0"/>
        <v>10</v>
      </c>
    </row>
    <row r="31" spans="1:4" x14ac:dyDescent="0.3">
      <c r="B31" s="49" t="s">
        <v>12</v>
      </c>
      <c r="C31" s="26">
        <f>VLOOKUP($C$23&amp;"-"&amp;B31,BD!$A:$D,4,FALSE)</f>
        <v>0.1</v>
      </c>
      <c r="D31" s="25">
        <f t="shared" si="0"/>
        <v>20</v>
      </c>
    </row>
    <row r="32" spans="1:4" x14ac:dyDescent="0.3">
      <c r="B32" s="49" t="s">
        <v>13</v>
      </c>
      <c r="C32" s="26">
        <f>VLOOKUP($C$23&amp;"-"&amp;B32,BD!$A:$D,4,FALSE)</f>
        <v>0.1</v>
      </c>
      <c r="D32" s="25">
        <f t="shared" si="0"/>
        <v>20</v>
      </c>
    </row>
    <row r="33" spans="2:4" x14ac:dyDescent="0.3">
      <c r="B33" s="34"/>
      <c r="C33" s="36">
        <f>SUM(C27:C32)</f>
        <v>0.99999999999999989</v>
      </c>
      <c r="D33" s="35">
        <f>SUM(D27:D32)</f>
        <v>200</v>
      </c>
    </row>
    <row r="42" spans="2:4" ht="28.5" customHeight="1" x14ac:dyDescent="0.3"/>
  </sheetData>
  <mergeCells count="14">
    <mergeCell ref="C23:D23"/>
    <mergeCell ref="C24:D24"/>
    <mergeCell ref="B1:E1"/>
    <mergeCell ref="B9:D9"/>
    <mergeCell ref="B10:C10"/>
    <mergeCell ref="B14:C14"/>
    <mergeCell ref="B4:D4"/>
    <mergeCell ref="B12:C12"/>
    <mergeCell ref="B13:C13"/>
    <mergeCell ref="B16:C16"/>
    <mergeCell ref="B5:C5"/>
    <mergeCell ref="B6:C6"/>
    <mergeCell ref="B7:C7"/>
    <mergeCell ref="B11:C11"/>
  </mergeCells>
  <dataValidations count="1">
    <dataValidation type="list" allowBlank="1" showInputMessage="1" showErrorMessage="1" sqref="C23" xr:uid="{3BF8A1E3-00D1-49F7-8AAC-E611D16BDF6D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3" orientation="portrait" r:id="rId1"/>
  <headerFooter>
    <oddHeader>&amp;L&amp;"Aptos"&amp;10&amp;K000000 PÚBLICO&amp;1#_x000D_</oddHeader>
    <oddFooter>&amp;L_x000D_&amp;1#&amp;"Aptos"&amp;10&amp;K000000 PÚBLICO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DCAC-721F-47A0-820A-B8A5493EA154}">
  <dimension ref="A1:H21"/>
  <sheetViews>
    <sheetView showGridLines="0" zoomScale="115" zoomScaleNormal="115" workbookViewId="0">
      <selection activeCell="C8" sqref="C8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1" spans="1:8" ht="15" thickBot="1" x14ac:dyDescent="0.35"/>
    <row r="2" spans="1:8" x14ac:dyDescent="0.3">
      <c r="A2" s="9" t="s">
        <v>3</v>
      </c>
      <c r="B2" s="10" t="s">
        <v>4</v>
      </c>
      <c r="C2" s="10" t="s">
        <v>5</v>
      </c>
      <c r="D2" s="11" t="s">
        <v>6</v>
      </c>
    </row>
    <row r="3" spans="1:8" x14ac:dyDescent="0.3">
      <c r="A3" s="12" t="str">
        <f>B3&amp;"-"&amp;C3</f>
        <v>Conservador-PAPEL</v>
      </c>
      <c r="B3" s="5" t="s">
        <v>7</v>
      </c>
      <c r="C3" s="6" t="s">
        <v>8</v>
      </c>
      <c r="D3" s="13">
        <v>0.3</v>
      </c>
      <c r="H3" t="s">
        <v>6</v>
      </c>
    </row>
    <row r="4" spans="1:8" x14ac:dyDescent="0.3">
      <c r="A4" s="12" t="str">
        <f t="shared" ref="A4:A20" si="0">B4&amp;"-"&amp;C4</f>
        <v>Conservador-TIJOLO</v>
      </c>
      <c r="B4" s="5" t="s">
        <v>7</v>
      </c>
      <c r="C4" s="6" t="s">
        <v>9</v>
      </c>
      <c r="D4" s="13">
        <v>0.5</v>
      </c>
      <c r="G4" s="1" t="s">
        <v>20</v>
      </c>
      <c r="H4" s="4" t="e">
        <f>VLOOKUP(G4,$A:$D,4,FALSE)</f>
        <v>#N/A</v>
      </c>
    </row>
    <row r="5" spans="1:8" x14ac:dyDescent="0.3">
      <c r="A5" s="12" t="str">
        <f t="shared" si="0"/>
        <v>Conservador-HÍBRIDOS</v>
      </c>
      <c r="B5" s="5" t="s">
        <v>7</v>
      </c>
      <c r="C5" s="6" t="s">
        <v>10</v>
      </c>
      <c r="D5" s="13">
        <v>0.1</v>
      </c>
    </row>
    <row r="6" spans="1:8" x14ac:dyDescent="0.3">
      <c r="A6" s="12" t="str">
        <f t="shared" si="0"/>
        <v>Conservador-FOFs</v>
      </c>
      <c r="B6" s="5" t="s">
        <v>7</v>
      </c>
      <c r="C6" s="6" t="s">
        <v>11</v>
      </c>
      <c r="D6" s="13">
        <v>0.1</v>
      </c>
    </row>
    <row r="7" spans="1:8" x14ac:dyDescent="0.3">
      <c r="A7" s="12" t="str">
        <f t="shared" si="0"/>
        <v>Conservador-DESENVOLVIMENTO</v>
      </c>
      <c r="B7" s="5" t="s">
        <v>7</v>
      </c>
      <c r="C7" s="6" t="s">
        <v>12</v>
      </c>
      <c r="D7" s="13">
        <v>0</v>
      </c>
    </row>
    <row r="8" spans="1:8" x14ac:dyDescent="0.3">
      <c r="A8" s="12" t="str">
        <f t="shared" si="0"/>
        <v>Conservador-HOTELARIAS</v>
      </c>
      <c r="B8" s="5" t="s">
        <v>7</v>
      </c>
      <c r="C8" s="6" t="s">
        <v>13</v>
      </c>
      <c r="D8" s="13">
        <v>0</v>
      </c>
    </row>
    <row r="9" spans="1:8" x14ac:dyDescent="0.3">
      <c r="A9" s="12" t="str">
        <f t="shared" si="0"/>
        <v>Moderado-PAPEL</v>
      </c>
      <c r="B9" s="5" t="s">
        <v>14</v>
      </c>
      <c r="C9" s="6" t="s">
        <v>8</v>
      </c>
      <c r="D9" s="13">
        <v>0.32</v>
      </c>
    </row>
    <row r="10" spans="1:8" ht="15" thickBot="1" x14ac:dyDescent="0.35">
      <c r="A10" s="12" t="str">
        <f t="shared" si="0"/>
        <v>Moderado-TIJOLO</v>
      </c>
      <c r="B10" s="8" t="s">
        <v>14</v>
      </c>
      <c r="C10" s="6" t="s">
        <v>9</v>
      </c>
      <c r="D10" s="13">
        <v>0.35</v>
      </c>
    </row>
    <row r="11" spans="1:8" x14ac:dyDescent="0.3">
      <c r="A11" s="12" t="str">
        <f t="shared" si="0"/>
        <v>Moderado-HÍBRIDOS</v>
      </c>
      <c r="B11" s="7" t="s">
        <v>14</v>
      </c>
      <c r="C11" s="6" t="s">
        <v>10</v>
      </c>
      <c r="D11" s="13">
        <v>0.08</v>
      </c>
    </row>
    <row r="12" spans="1:8" x14ac:dyDescent="0.3">
      <c r="A12" s="12" t="str">
        <f t="shared" si="0"/>
        <v>Moderado-FOFs</v>
      </c>
      <c r="B12" s="5" t="s">
        <v>14</v>
      </c>
      <c r="C12" s="6" t="s">
        <v>11</v>
      </c>
      <c r="D12" s="13">
        <v>0.05</v>
      </c>
    </row>
    <row r="13" spans="1:8" x14ac:dyDescent="0.3">
      <c r="A13" s="12" t="str">
        <f t="shared" si="0"/>
        <v>Moderado-DESENVOLVIMENTO</v>
      </c>
      <c r="B13" s="5" t="s">
        <v>14</v>
      </c>
      <c r="C13" s="6" t="s">
        <v>12</v>
      </c>
      <c r="D13" s="13">
        <v>0.1</v>
      </c>
    </row>
    <row r="14" spans="1:8" x14ac:dyDescent="0.3">
      <c r="A14" s="12" t="str">
        <f t="shared" si="0"/>
        <v>Moderado-HOTELARIAS</v>
      </c>
      <c r="B14" s="5" t="s">
        <v>14</v>
      </c>
      <c r="C14" s="6" t="s">
        <v>13</v>
      </c>
      <c r="D14" s="13">
        <v>0.1</v>
      </c>
    </row>
    <row r="15" spans="1:8" x14ac:dyDescent="0.3">
      <c r="A15" s="12" t="str">
        <f t="shared" si="0"/>
        <v>Agressivo-PAPEL</v>
      </c>
      <c r="B15" s="5" t="s">
        <v>15</v>
      </c>
      <c r="C15" s="6" t="s">
        <v>8</v>
      </c>
      <c r="D15" s="13">
        <v>0.5</v>
      </c>
    </row>
    <row r="16" spans="1:8" x14ac:dyDescent="0.3">
      <c r="A16" s="12" t="str">
        <f t="shared" si="0"/>
        <v>Agressivo-TIJOLO</v>
      </c>
      <c r="B16" s="5" t="s">
        <v>15</v>
      </c>
      <c r="C16" s="6" t="s">
        <v>9</v>
      </c>
      <c r="D16" s="13">
        <v>0.1</v>
      </c>
    </row>
    <row r="17" spans="1:4" x14ac:dyDescent="0.3">
      <c r="A17" s="12" t="str">
        <f t="shared" si="0"/>
        <v>Agressivo-HÍBRIDOS</v>
      </c>
      <c r="B17" s="5" t="s">
        <v>15</v>
      </c>
      <c r="C17" s="6" t="s">
        <v>10</v>
      </c>
      <c r="D17" s="13">
        <v>0.05</v>
      </c>
    </row>
    <row r="18" spans="1:4" x14ac:dyDescent="0.3">
      <c r="A18" s="12" t="str">
        <f t="shared" si="0"/>
        <v>Agressivo-FOFs</v>
      </c>
      <c r="B18" s="5" t="s">
        <v>15</v>
      </c>
      <c r="C18" s="6" t="s">
        <v>11</v>
      </c>
      <c r="D18" s="13">
        <v>0.05</v>
      </c>
    </row>
    <row r="19" spans="1:4" x14ac:dyDescent="0.3">
      <c r="A19" s="12" t="str">
        <f t="shared" si="0"/>
        <v>Agressivo-DESENVOLVIMENTO</v>
      </c>
      <c r="B19" s="5" t="s">
        <v>15</v>
      </c>
      <c r="C19" s="6" t="s">
        <v>12</v>
      </c>
      <c r="D19" s="13">
        <v>0.2</v>
      </c>
    </row>
    <row r="20" spans="1:4" ht="15" thickBot="1" x14ac:dyDescent="0.35">
      <c r="A20" s="14" t="str">
        <f t="shared" si="0"/>
        <v>Agressivo-HOTELARIAS</v>
      </c>
      <c r="B20" s="8" t="s">
        <v>15</v>
      </c>
      <c r="C20" s="15" t="s">
        <v>13</v>
      </c>
      <c r="D20" s="16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APP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Pereira Plantikow</dc:creator>
  <cp:lastModifiedBy>Raquel Pereira Plantikow</cp:lastModifiedBy>
  <cp:lastPrinted>2026-01-05T17:24:09Z</cp:lastPrinted>
  <dcterms:created xsi:type="dcterms:W3CDTF">2026-01-05T16:53:19Z</dcterms:created>
  <dcterms:modified xsi:type="dcterms:W3CDTF">2026-01-05T17:24:14Z</dcterms:modified>
</cp:coreProperties>
</file>